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uchoa/Desktop/"/>
    </mc:Choice>
  </mc:AlternateContent>
  <xr:revisionPtr revIDLastSave="0" documentId="8_{3B0C5451-EED0-F64B-AB0E-BC232F1834CB}" xr6:coauthVersionLast="47" xr6:coauthVersionMax="47" xr10:uidLastSave="{00000000-0000-0000-0000-000000000000}"/>
  <bookViews>
    <workbookView xWindow="5580" yWindow="2380" windowWidth="27640" windowHeight="16680" xr2:uid="{D92A3B1D-078D-8040-A062-6845D1CCF2EC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1" i="1" l="1"/>
  <c r="B13" i="1" s="1"/>
  <c r="B14" i="1" s="1"/>
  <c r="B18" i="1" s="1"/>
  <c r="B19" i="1" s="1"/>
  <c r="B20" i="1" s="1"/>
  <c r="B21" i="1" s="1"/>
  <c r="B22" i="1" s="1"/>
  <c r="B26" i="1" s="1"/>
  <c r="B27" i="1" s="1"/>
  <c r="B28" i="1" s="1"/>
  <c r="B29" i="1" s="1"/>
  <c r="B30" i="1" s="1"/>
  <c r="B31" i="1" s="1"/>
  <c r="B35" i="1" s="1"/>
  <c r="A11" i="1"/>
  <c r="A13" i="1" s="1"/>
  <c r="A14" i="1" s="1"/>
  <c r="A18" i="1" s="1"/>
  <c r="A19" i="1" s="1"/>
  <c r="A20" i="1" s="1"/>
  <c r="A21" i="1" s="1"/>
  <c r="A22" i="1" s="1"/>
  <c r="A26" i="1" s="1"/>
  <c r="A27" i="1" s="1"/>
  <c r="A28" i="1" s="1"/>
  <c r="A29" i="1" s="1"/>
  <c r="A30" i="1" s="1"/>
  <c r="A31" i="1" s="1"/>
  <c r="A35" i="1" s="1"/>
</calcChain>
</file>

<file path=xl/sharedStrings.xml><?xml version="1.0" encoding="utf-8"?>
<sst xmlns="http://schemas.openxmlformats.org/spreadsheetml/2006/main" count="83" uniqueCount="52">
  <si>
    <t>CBE - 1- CURSO BÁSICO DE ESPIRITISMO - 1º ano</t>
  </si>
  <si>
    <r>
      <t>PRESENCIAL - 20h às 21h40 - Monitores:</t>
    </r>
    <r>
      <rPr>
        <b/>
        <i/>
        <sz val="14"/>
        <color theme="1"/>
        <rFont val="Arial"/>
        <family val="2"/>
      </rPr>
      <t xml:space="preserve"> </t>
    </r>
    <r>
      <rPr>
        <b/>
        <sz val="14"/>
        <color theme="1"/>
        <rFont val="Arial"/>
        <family val="2"/>
      </rPr>
      <t>Marcelo Uchoa, Priscila Bastos  e Diego</t>
    </r>
  </si>
  <si>
    <t>ON-LINE - 20h às 21h40 - Monitores: Yumi Uyemura, Rogerio Souza e Ana Alice Camargo</t>
  </si>
  <si>
    <t>MÓDULO 0: Aula Inaugural 1º Semestre (2026-2)</t>
  </si>
  <si>
    <t>data</t>
  </si>
  <si>
    <t>aula</t>
  </si>
  <si>
    <t>Conteúdo Programático</t>
  </si>
  <si>
    <t>Bibliografia Específica de Referência</t>
  </si>
  <si>
    <t>Monitor Responsável</t>
  </si>
  <si>
    <t>0 - Boas vindas, recepção e integração da turma, apresentação do programa, modus operandi das atividades e tira-dúvidas</t>
  </si>
  <si>
    <t>ppt Apresentação da casa</t>
  </si>
  <si>
    <t>Pri, Marcelo e Diego</t>
  </si>
  <si>
    <t>MÓDULO 1: EVOLUÇÃO DO PENSAMENTO RELIGIOSO</t>
  </si>
  <si>
    <t xml:space="preserve"> Conteúdo Programático</t>
  </si>
  <si>
    <t>1 - Sócrates e Platão - As Religiões Não Cristãs: Doutrina Secreta, Hinduismo, Budismo, Taoismo, Confucionismo, Judaismo</t>
  </si>
  <si>
    <t>Introd. E.S.E. IV</t>
  </si>
  <si>
    <t>Marcelo</t>
  </si>
  <si>
    <t>2 - Moisés e a Primeira Revelação + Jesus e a Segunda Revelação - O Novo Testamento - Notícias Históricas da Sociedade Judaica da Época - O Cristianismo - Não Vim Destruir a Lei + O Apóstolo Paulo e suas Peregrinações -  Os Evangelhos Canônicos e os Evangelistas - Nova Era - A Igreja Católica - O Islamismo - A Reforma Protestante</t>
  </si>
  <si>
    <t>ESE: Cap. I + NEv: 1ª - EADE L i Mod II</t>
  </si>
  <si>
    <t>Priscila</t>
  </si>
  <si>
    <t xml:space="preserve">3 - Kardec e a Terceira Revelação - Kardec, o Professor e o Codificador - Fenômenos Antecedentes / Precursores de Kardec - Fenômenos que Antecederam Kardec - Metodologia e Critérios utilizados  - Obras Básicas </t>
  </si>
  <si>
    <t>ESE: Introd, item I e II</t>
  </si>
  <si>
    <t>Diego</t>
  </si>
  <si>
    <t>MÓDULO 2: O ESPIRITISMO, O UNIVERSO, DEUS, A CRIAÇÃO, PRINCÍPIO VITAL</t>
  </si>
  <si>
    <t>4 - Espiritismo ou Doutrina Espírita: Conceito, Objeto - Tríplice Aspecto - Princípios Básicos da DE</t>
  </si>
  <si>
    <t>L.E. Introd.</t>
  </si>
  <si>
    <t>5 - Existência de Deus e Provas de Sua Existência - Atributos da Divindade - A Providência Divina - Panteismo</t>
  </si>
  <si>
    <t>LE 1º: Cap.I</t>
  </si>
  <si>
    <t>6 - Elementos Gerais do Universo:  O Princípio das Coisas - Espírito e Matéria - Propriedades da Matéria - Espaço Universal</t>
  </si>
  <si>
    <t>LE 1º: Cap.II - ESDE T I Mod VII</t>
  </si>
  <si>
    <t>7 - Formação dos Mundos e dos Seres - Povoamento da Terra</t>
  </si>
  <si>
    <t>LE 1º: Cap.III</t>
  </si>
  <si>
    <t xml:space="preserve">Marcelo </t>
  </si>
  <si>
    <t>8 - Princípio Vital:  Seres Orgânicos e Inorgânicos - A Vida e a Morte - Inteligência e Instinto</t>
  </si>
  <si>
    <t>LE 1º: Cap.IV - ESDE T I Mod.VII</t>
  </si>
  <si>
    <t>MÓDULO 3: OS  ESPÍRITOS, EXISTÊNCIA E SOBREVIVÊNCIA</t>
  </si>
  <si>
    <t>9 - Origem, Natureza e Existência dos Espíritos - Forma e Ubiquidade dos Espíritos - Provas da Existência dos Espíritos</t>
  </si>
  <si>
    <t>LE 2º: Cap.I - ESDE T I Mod.IV</t>
  </si>
  <si>
    <t>10 - Natureza, Propriedades e Qualidades dos Fluidos + Perispírito: Formação, Propriedades e Funções - Ação dos Espíritos sobre os Fluidos</t>
  </si>
  <si>
    <t>A Genese, cap. XIV - ESDE - T ÚNICO - Mód. II. + A Gênese, cap.XIV itens 13 a 21 + LE 2 Cap.I</t>
  </si>
  <si>
    <t>11 - A Vida Futura - Progressão dos Espíritos - Diferentes Ordens de Espíritos - Escala Espírita Faixas Espirituais da Terra - Ocupações e Missões dos Espíritos</t>
  </si>
  <si>
    <t>LE 2º: Cap.I - ESDE T I Mod.IV - NEv 1ª</t>
  </si>
  <si>
    <t>12 - Pluralidade dos Mundos - Há Muitas Moradas na Casa de Meu Pai - Mundos Inferiores e Superiores - Destino da Terra - Mundos Espirituais Transitórios</t>
  </si>
  <si>
    <t>ESE: Cap.III - ESDE T I Mod VII - NEv 1ª + LE 1CAp.III</t>
  </si>
  <si>
    <t>* Viagem Marcelo e Pri</t>
  </si>
  <si>
    <t>13 - Ninguém pode ver o Reino de Deus, se não nascer de novo - Encarnação dos Espíritos: Fundamentos e Finalidade - Materialismo</t>
  </si>
  <si>
    <t>ESE Cap IV - NEv 1ª P - LE2ª Cap II - ESDE 1: Mod VI</t>
  </si>
  <si>
    <r>
      <t xml:space="preserve">14 - Milagres ou Fenômenos? Fé e ação, Fé Raciocinada - Orientações para Leitura de Férias:  </t>
    </r>
    <r>
      <rPr>
        <b/>
        <sz val="12"/>
        <color theme="1"/>
        <rFont val="Arial"/>
        <family val="2"/>
      </rPr>
      <t>O Que é o Espiritismo - Allan Kardec</t>
    </r>
  </si>
  <si>
    <t>ESE Cap. XIX e a Genese, Cap. XIII</t>
  </si>
  <si>
    <t>MÓDULO 3': Encerramento 1º Semestre (2026-2)</t>
  </si>
  <si>
    <t xml:space="preserve">14' - Encerramento do Semstre, Comentários e esclarecimentos para Fixação conteúdo. Atividade de Confraternização. </t>
  </si>
  <si>
    <t>Leitura de Férias: O Que é o Espiritismo (Allan Kardec)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</si>
</sst>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[$-416]d\-mmm;@"/>
    <numFmt numFmtId="165" formatCode="#,##0_ ;[Red]\-#,##0\ "/>
  </numFmts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1"/>
      <name val="Verdana"/>
      <family val="2"/>
    </font>
    <font>
      <b/>
      <sz val="18"/>
      <color theme="0"/>
      <name val="Arial"/>
      <family val="2"/>
    </font>
    <font>
      <sz val="11"/>
      <color theme="1"/>
      <name val="Century Gothic"/>
      <family val="2"/>
    </font>
    <font>
      <b/>
      <sz val="14"/>
      <color theme="1"/>
      <name val="Arial"/>
      <family val="2"/>
    </font>
    <font>
      <b/>
      <i/>
      <sz val="14"/>
      <color theme="1"/>
      <name val="Arial"/>
      <family val="2"/>
    </font>
    <font>
      <i/>
      <sz val="12"/>
      <color theme="1"/>
      <name val="Arial"/>
      <family val="2"/>
    </font>
    <font>
      <b/>
      <sz val="12"/>
      <name val="Arial"/>
      <family val="2"/>
    </font>
    <font>
      <i/>
      <sz val="10"/>
      <color theme="1"/>
      <name val="Century Gothic"/>
      <family val="2"/>
    </font>
    <font>
      <i/>
      <sz val="12"/>
      <name val="Arial"/>
      <family val="2"/>
    </font>
    <font>
      <b/>
      <sz val="12"/>
      <color indexed="8"/>
      <name val="Arial"/>
      <family val="2"/>
    </font>
    <font>
      <b/>
      <i/>
      <sz val="12"/>
      <color theme="1"/>
      <name val="Arial"/>
      <family val="2"/>
    </font>
    <font>
      <sz val="12"/>
      <color theme="1"/>
      <name val="Arial"/>
      <family val="2"/>
    </font>
    <font>
      <sz val="14"/>
      <color theme="1"/>
      <name val="Arial"/>
      <family val="2"/>
    </font>
    <font>
      <sz val="12"/>
      <color rgb="FF002060"/>
      <name val="Arial"/>
      <family val="2"/>
    </font>
    <font>
      <b/>
      <sz val="12"/>
      <color theme="1"/>
      <name val="Arial"/>
      <family val="2"/>
    </font>
    <font>
      <sz val="10"/>
      <color theme="1"/>
      <name val="Verdana"/>
      <family val="2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59999389629810485"/>
        <bgColor indexed="64"/>
      </patternFill>
    </fill>
  </fills>
  <borders count="9">
    <border>
      <left/>
      <right/>
      <top/>
      <bottom/>
      <diagonal/>
    </border>
    <border>
      <left/>
      <right/>
      <top style="double">
        <color auto="1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94">
    <xf numFmtId="0" fontId="0" fillId="0" borderId="0" xfId="0"/>
    <xf numFmtId="0" fontId="2" fillId="2" borderId="0" xfId="0" applyFont="1" applyFill="1" applyAlignment="1">
      <alignment horizontal="left"/>
    </xf>
    <xf numFmtId="0" fontId="2" fillId="2" borderId="0" xfId="0" applyFont="1" applyFill="1" applyAlignment="1">
      <alignment horizontal="center"/>
    </xf>
    <xf numFmtId="49" fontId="3" fillId="3" borderId="1" xfId="1" applyNumberFormat="1" applyFont="1" applyFill="1" applyBorder="1" applyAlignment="1">
      <alignment horizontal="left" vertical="center" wrapText="1"/>
    </xf>
    <xf numFmtId="0" fontId="2" fillId="2" borderId="0" xfId="0" applyFont="1" applyFill="1"/>
    <xf numFmtId="0" fontId="4" fillId="2" borderId="0" xfId="0" applyFont="1" applyFill="1" applyAlignment="1">
      <alignment horizontal="left"/>
    </xf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left"/>
    </xf>
    <xf numFmtId="0" fontId="7" fillId="2" borderId="0" xfId="1" applyNumberFormat="1" applyFont="1" applyFill="1" applyBorder="1" applyAlignment="1">
      <alignment vertical="center" wrapText="1"/>
    </xf>
    <xf numFmtId="49" fontId="8" fillId="2" borderId="0" xfId="1" applyNumberFormat="1" applyFont="1" applyFill="1" applyBorder="1" applyAlignment="1">
      <alignment horizontal="left" vertical="center" wrapText="1"/>
    </xf>
    <xf numFmtId="0" fontId="9" fillId="2" borderId="0" xfId="1" applyNumberFormat="1" applyFont="1" applyFill="1" applyBorder="1" applyAlignment="1">
      <alignment vertical="center" wrapText="1"/>
    </xf>
    <xf numFmtId="0" fontId="10" fillId="2" borderId="0" xfId="1" applyNumberFormat="1" applyFont="1" applyFill="1" applyBorder="1" applyAlignment="1">
      <alignment horizontal="left" vertical="center" wrapText="1"/>
    </xf>
    <xf numFmtId="0" fontId="9" fillId="2" borderId="0" xfId="1" applyNumberFormat="1" applyFont="1" applyFill="1" applyBorder="1" applyAlignment="1">
      <alignment horizontal="left" vertical="center" wrapText="1"/>
    </xf>
    <xf numFmtId="49" fontId="11" fillId="2" borderId="0" xfId="1" applyNumberFormat="1" applyFont="1" applyFill="1" applyBorder="1" applyAlignment="1">
      <alignment horizontal="center" vertical="center" wrapText="1"/>
    </xf>
    <xf numFmtId="164" fontId="6" fillId="4" borderId="2" xfId="1" applyNumberFormat="1" applyFont="1" applyFill="1" applyBorder="1" applyAlignment="1">
      <alignment horizontal="left" vertical="center"/>
    </xf>
    <xf numFmtId="0" fontId="2" fillId="2" borderId="0" xfId="0" applyFont="1" applyFill="1" applyAlignment="1">
      <alignment horizontal="center" vertical="center"/>
    </xf>
    <xf numFmtId="0" fontId="6" fillId="5" borderId="3" xfId="0" applyFont="1" applyFill="1" applyBorder="1" applyAlignment="1">
      <alignment horizontal="left" vertical="center"/>
    </xf>
    <xf numFmtId="43" fontId="6" fillId="5" borderId="3" xfId="1" applyFont="1" applyFill="1" applyBorder="1" applyAlignment="1">
      <alignment horizontal="center" vertical="center"/>
    </xf>
    <xf numFmtId="43" fontId="6" fillId="5" borderId="3" xfId="1" applyFont="1" applyFill="1" applyBorder="1" applyAlignment="1">
      <alignment horizontal="center" vertical="center"/>
    </xf>
    <xf numFmtId="0" fontId="12" fillId="5" borderId="3" xfId="0" applyFont="1" applyFill="1" applyBorder="1" applyAlignment="1">
      <alignment vertical="center"/>
    </xf>
    <xf numFmtId="164" fontId="13" fillId="5" borderId="3" xfId="0" applyNumberFormat="1" applyFont="1" applyFill="1" applyBorder="1" applyAlignment="1">
      <alignment horizontal="left" vertical="center"/>
    </xf>
    <xf numFmtId="0" fontId="13" fillId="5" borderId="3" xfId="0" applyFont="1" applyFill="1" applyBorder="1" applyAlignment="1">
      <alignment horizontal="center" vertical="center"/>
    </xf>
    <xf numFmtId="0" fontId="13" fillId="5" borderId="3" xfId="0" applyFont="1" applyFill="1" applyBorder="1" applyAlignment="1">
      <alignment vertical="center"/>
    </xf>
    <xf numFmtId="164" fontId="14" fillId="5" borderId="3" xfId="1" applyNumberFormat="1" applyFont="1" applyFill="1" applyBorder="1" applyAlignment="1">
      <alignment horizontal="left" vertical="center"/>
    </xf>
    <xf numFmtId="0" fontId="2" fillId="5" borderId="3" xfId="0" applyFont="1" applyFill="1" applyBorder="1" applyAlignment="1">
      <alignment horizontal="center" vertical="center"/>
    </xf>
    <xf numFmtId="164" fontId="14" fillId="2" borderId="0" xfId="0" applyNumberFormat="1" applyFont="1" applyFill="1" applyAlignment="1">
      <alignment horizontal="left" vertical="center"/>
    </xf>
    <xf numFmtId="164" fontId="5" fillId="2" borderId="0" xfId="1" applyNumberFormat="1" applyFont="1" applyFill="1" applyBorder="1" applyAlignment="1">
      <alignment horizontal="center" vertical="center"/>
    </xf>
    <xf numFmtId="164" fontId="5" fillId="2" borderId="0" xfId="1" applyNumberFormat="1" applyFont="1" applyFill="1" applyBorder="1" applyAlignment="1">
      <alignment horizontal="left" vertical="center"/>
    </xf>
    <xf numFmtId="164" fontId="6" fillId="6" borderId="0" xfId="1" applyNumberFormat="1" applyFont="1" applyFill="1" applyBorder="1" applyAlignment="1">
      <alignment horizontal="left" vertical="center"/>
    </xf>
    <xf numFmtId="0" fontId="6" fillId="7" borderId="3" xfId="0" applyFont="1" applyFill="1" applyBorder="1" applyAlignment="1">
      <alignment horizontal="left" vertical="center"/>
    </xf>
    <xf numFmtId="43" fontId="6" fillId="7" borderId="3" xfId="1" applyFont="1" applyFill="1" applyBorder="1" applyAlignment="1">
      <alignment horizontal="center" vertical="center"/>
    </xf>
    <xf numFmtId="43" fontId="6" fillId="7" borderId="4" xfId="1" applyFont="1" applyFill="1" applyBorder="1" applyAlignment="1">
      <alignment horizontal="center" vertical="center"/>
    </xf>
    <xf numFmtId="43" fontId="6" fillId="7" borderId="5" xfId="1" applyFont="1" applyFill="1" applyBorder="1" applyAlignment="1">
      <alignment horizontal="center" vertical="center"/>
    </xf>
    <xf numFmtId="43" fontId="6" fillId="7" borderId="6" xfId="1" applyFont="1" applyFill="1" applyBorder="1" applyAlignment="1">
      <alignment horizontal="center" vertical="center"/>
    </xf>
    <xf numFmtId="0" fontId="12" fillId="7" borderId="3" xfId="0" applyFont="1" applyFill="1" applyBorder="1" applyAlignment="1">
      <alignment vertical="center"/>
    </xf>
    <xf numFmtId="164" fontId="13" fillId="7" borderId="7" xfId="0" applyNumberFormat="1" applyFont="1" applyFill="1" applyBorder="1" applyAlignment="1">
      <alignment horizontal="left" vertical="center"/>
    </xf>
    <xf numFmtId="0" fontId="13" fillId="7" borderId="3" xfId="0" applyFont="1" applyFill="1" applyBorder="1" applyAlignment="1">
      <alignment horizontal="center" vertical="center"/>
    </xf>
    <xf numFmtId="0" fontId="13" fillId="7" borderId="3" xfId="0" applyFont="1" applyFill="1" applyBorder="1" applyAlignment="1">
      <alignment horizontal="left" vertical="center"/>
    </xf>
    <xf numFmtId="164" fontId="13" fillId="7" borderId="3" xfId="1" applyNumberFormat="1" applyFont="1" applyFill="1" applyBorder="1" applyAlignment="1">
      <alignment horizontal="left" vertical="center"/>
    </xf>
    <xf numFmtId="0" fontId="2" fillId="7" borderId="3" xfId="0" applyFont="1" applyFill="1" applyBorder="1" applyAlignment="1">
      <alignment horizontal="center" vertical="center"/>
    </xf>
    <xf numFmtId="164" fontId="13" fillId="7" borderId="8" xfId="0" applyNumberFormat="1" applyFont="1" applyFill="1" applyBorder="1" applyAlignment="1">
      <alignment horizontal="left" vertical="center"/>
    </xf>
    <xf numFmtId="164" fontId="13" fillId="7" borderId="3" xfId="0" applyNumberFormat="1" applyFont="1" applyFill="1" applyBorder="1" applyAlignment="1">
      <alignment horizontal="left" vertical="center"/>
    </xf>
    <xf numFmtId="0" fontId="13" fillId="7" borderId="3" xfId="0" applyFont="1" applyFill="1" applyBorder="1" applyAlignment="1">
      <alignment horizontal="center" vertical="center"/>
    </xf>
    <xf numFmtId="164" fontId="2" fillId="2" borderId="0" xfId="1" applyNumberFormat="1" applyFont="1" applyFill="1" applyBorder="1" applyAlignment="1">
      <alignment horizontal="left" vertical="center"/>
    </xf>
    <xf numFmtId="164" fontId="13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center" vertical="center"/>
    </xf>
    <xf numFmtId="0" fontId="15" fillId="2" borderId="0" xfId="0" applyFont="1" applyFill="1" applyAlignment="1">
      <alignment horizontal="left" vertical="center"/>
    </xf>
    <xf numFmtId="164" fontId="13" fillId="2" borderId="0" xfId="1" applyNumberFormat="1" applyFont="1" applyFill="1" applyBorder="1" applyAlignment="1">
      <alignment horizontal="left" vertical="center"/>
    </xf>
    <xf numFmtId="164" fontId="6" fillId="8" borderId="0" xfId="1" applyNumberFormat="1" applyFont="1" applyFill="1" applyBorder="1" applyAlignment="1">
      <alignment horizontal="left" vertical="center"/>
    </xf>
    <xf numFmtId="164" fontId="6" fillId="8" borderId="0" xfId="1" applyNumberFormat="1" applyFont="1" applyFill="1" applyBorder="1" applyAlignment="1">
      <alignment horizontal="left" vertical="center"/>
    </xf>
    <xf numFmtId="0" fontId="2" fillId="8" borderId="0" xfId="0" applyFont="1" applyFill="1" applyAlignment="1">
      <alignment horizontal="center" vertical="center"/>
    </xf>
    <xf numFmtId="0" fontId="6" fillId="9" borderId="3" xfId="0" applyFont="1" applyFill="1" applyBorder="1" applyAlignment="1">
      <alignment horizontal="left" vertical="center"/>
    </xf>
    <xf numFmtId="43" fontId="6" fillId="9" borderId="3" xfId="1" applyFont="1" applyFill="1" applyBorder="1" applyAlignment="1">
      <alignment horizontal="center" vertical="center"/>
    </xf>
    <xf numFmtId="43" fontId="6" fillId="9" borderId="3" xfId="1" applyFont="1" applyFill="1" applyBorder="1" applyAlignment="1">
      <alignment horizontal="center" vertical="center"/>
    </xf>
    <xf numFmtId="0" fontId="12" fillId="9" borderId="3" xfId="0" applyFont="1" applyFill="1" applyBorder="1" applyAlignment="1">
      <alignment vertical="center"/>
    </xf>
    <xf numFmtId="164" fontId="13" fillId="9" borderId="3" xfId="0" applyNumberFormat="1" applyFont="1" applyFill="1" applyBorder="1" applyAlignment="1">
      <alignment horizontal="left" vertical="center"/>
    </xf>
    <xf numFmtId="3" fontId="13" fillId="9" borderId="3" xfId="1" applyNumberFormat="1" applyFont="1" applyFill="1" applyBorder="1" applyAlignment="1">
      <alignment horizontal="center" vertical="center"/>
    </xf>
    <xf numFmtId="0" fontId="13" fillId="9" borderId="3" xfId="0" applyFont="1" applyFill="1" applyBorder="1" applyAlignment="1">
      <alignment horizontal="left" vertical="center"/>
    </xf>
    <xf numFmtId="164" fontId="13" fillId="9" borderId="3" xfId="1" applyNumberFormat="1" applyFont="1" applyFill="1" applyBorder="1" applyAlignment="1">
      <alignment horizontal="left" vertical="center"/>
    </xf>
    <xf numFmtId="0" fontId="2" fillId="9" borderId="3" xfId="0" applyFont="1" applyFill="1" applyBorder="1" applyAlignment="1">
      <alignment horizontal="center" vertical="center"/>
    </xf>
    <xf numFmtId="165" fontId="13" fillId="9" borderId="3" xfId="0" applyNumberFormat="1" applyFont="1" applyFill="1" applyBorder="1" applyAlignment="1">
      <alignment horizontal="center" vertical="center"/>
    </xf>
    <xf numFmtId="164" fontId="2" fillId="2" borderId="0" xfId="0" applyNumberFormat="1" applyFont="1" applyFill="1" applyAlignment="1">
      <alignment horizontal="left" vertical="center"/>
    </xf>
    <xf numFmtId="0" fontId="13" fillId="9" borderId="3" xfId="0" applyFont="1" applyFill="1" applyBorder="1" applyAlignment="1">
      <alignment vertical="center"/>
    </xf>
    <xf numFmtId="0" fontId="13" fillId="9" borderId="3" xfId="0" applyFont="1" applyFill="1" applyBorder="1" applyAlignment="1">
      <alignment horizontal="center" vertical="center"/>
    </xf>
    <xf numFmtId="0" fontId="13" fillId="2" borderId="0" xfId="0" applyFont="1" applyFill="1" applyAlignment="1">
      <alignment vertical="center"/>
    </xf>
    <xf numFmtId="165" fontId="13" fillId="2" borderId="0" xfId="0" applyNumberFormat="1" applyFont="1" applyFill="1" applyAlignment="1">
      <alignment horizontal="center" vertical="center"/>
    </xf>
    <xf numFmtId="164" fontId="6" fillId="10" borderId="0" xfId="1" applyNumberFormat="1" applyFont="1" applyFill="1" applyBorder="1" applyAlignment="1">
      <alignment horizontal="left" vertical="center"/>
    </xf>
    <xf numFmtId="164" fontId="6" fillId="10" borderId="0" xfId="1" applyNumberFormat="1" applyFont="1" applyFill="1" applyBorder="1" applyAlignment="1">
      <alignment horizontal="left" vertical="center"/>
    </xf>
    <xf numFmtId="0" fontId="2" fillId="10" borderId="0" xfId="0" applyFont="1" applyFill="1" applyAlignment="1">
      <alignment horizontal="center" vertical="center"/>
    </xf>
    <xf numFmtId="0" fontId="6" fillId="11" borderId="3" xfId="0" applyFont="1" applyFill="1" applyBorder="1" applyAlignment="1">
      <alignment horizontal="left" vertical="center"/>
    </xf>
    <xf numFmtId="43" fontId="6" fillId="11" borderId="3" xfId="1" applyFont="1" applyFill="1" applyBorder="1" applyAlignment="1">
      <alignment horizontal="center" vertical="center"/>
    </xf>
    <xf numFmtId="43" fontId="6" fillId="11" borderId="3" xfId="1" applyFont="1" applyFill="1" applyBorder="1" applyAlignment="1">
      <alignment horizontal="center" vertical="center"/>
    </xf>
    <xf numFmtId="0" fontId="12" fillId="11" borderId="3" xfId="0" applyFont="1" applyFill="1" applyBorder="1" applyAlignment="1">
      <alignment vertical="center"/>
    </xf>
    <xf numFmtId="164" fontId="13" fillId="11" borderId="3" xfId="0" applyNumberFormat="1" applyFont="1" applyFill="1" applyBorder="1" applyAlignment="1">
      <alignment horizontal="left" vertical="center"/>
    </xf>
    <xf numFmtId="165" fontId="13" fillId="11" borderId="3" xfId="0" applyNumberFormat="1" applyFont="1" applyFill="1" applyBorder="1" applyAlignment="1">
      <alignment horizontal="center" vertical="center"/>
    </xf>
    <xf numFmtId="0" fontId="13" fillId="11" borderId="3" xfId="0" applyFont="1" applyFill="1" applyBorder="1" applyAlignment="1">
      <alignment horizontal="left" vertical="center"/>
    </xf>
    <xf numFmtId="164" fontId="13" fillId="11" borderId="3" xfId="1" applyNumberFormat="1" applyFont="1" applyFill="1" applyBorder="1" applyAlignment="1">
      <alignment horizontal="left" vertical="center"/>
    </xf>
    <xf numFmtId="0" fontId="2" fillId="11" borderId="3" xfId="0" applyFont="1" applyFill="1" applyBorder="1" applyAlignment="1">
      <alignment horizontal="center" vertical="center"/>
    </xf>
    <xf numFmtId="0" fontId="13" fillId="11" borderId="3" xfId="0" applyFont="1" applyFill="1" applyBorder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6" fillId="4" borderId="0" xfId="0" applyFont="1" applyFill="1" applyAlignment="1">
      <alignment horizontal="left" vertical="center"/>
    </xf>
    <xf numFmtId="0" fontId="2" fillId="4" borderId="0" xfId="0" applyFont="1" applyFill="1" applyAlignment="1">
      <alignment horizontal="center" vertical="center"/>
    </xf>
    <xf numFmtId="165" fontId="13" fillId="5" borderId="3" xfId="0" applyNumberFormat="1" applyFont="1" applyFill="1" applyBorder="1" applyAlignment="1">
      <alignment horizontal="center" vertical="center"/>
    </xf>
    <xf numFmtId="164" fontId="13" fillId="5" borderId="3" xfId="0" applyNumberFormat="1" applyFont="1" applyFill="1" applyBorder="1" applyAlignment="1">
      <alignment horizontal="left" vertical="center"/>
    </xf>
    <xf numFmtId="164" fontId="13" fillId="5" borderId="3" xfId="0" applyNumberFormat="1" applyFont="1" applyFill="1" applyBorder="1" applyAlignment="1">
      <alignment vertical="center"/>
    </xf>
    <xf numFmtId="0" fontId="16" fillId="2" borderId="0" xfId="0" applyFont="1" applyFill="1" applyAlignment="1">
      <alignment vertical="center"/>
    </xf>
    <xf numFmtId="0" fontId="13" fillId="2" borderId="0" xfId="0" applyFont="1" applyFill="1"/>
    <xf numFmtId="0" fontId="2" fillId="2" borderId="0" xfId="0" applyFont="1" applyFill="1" applyAlignment="1">
      <alignment horizontal="left" vertical="center"/>
    </xf>
    <xf numFmtId="164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/>
    </xf>
    <xf numFmtId="0" fontId="13" fillId="2" borderId="0" xfId="0" applyFont="1" applyFill="1" applyAlignment="1">
      <alignment horizontal="left"/>
    </xf>
    <xf numFmtId="0" fontId="17" fillId="2" borderId="0" xfId="0" applyFont="1" applyFill="1"/>
    <xf numFmtId="0" fontId="17" fillId="2" borderId="0" xfId="0" applyFont="1" applyFill="1" applyAlignment="1">
      <alignment horizontal="left"/>
    </xf>
    <xf numFmtId="0" fontId="17" fillId="2" borderId="0" xfId="0" applyFont="1" applyFill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114631</xdr:rowOff>
    </xdr:from>
    <xdr:ext cx="1498600" cy="672693"/>
    <xdr:pic>
      <xdr:nvPicPr>
        <xdr:cNvPr id="2" name="Imagem 1" descr="B NOVO">
          <a:extLst>
            <a:ext uri="{FF2B5EF4-FFF2-40B4-BE49-F238E27FC236}">
              <a16:creationId xmlns:a16="http://schemas.microsoft.com/office/drawing/2014/main" id="{6BC71952-28A5-5247-99FC-3025D74885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4631"/>
          <a:ext cx="1498600" cy="67269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E1D81-FD39-E34B-A2BA-DD3BBDCB1F53}">
  <dimension ref="A1:H52"/>
  <sheetViews>
    <sheetView tabSelected="1" workbookViewId="0">
      <selection activeCell="C17" sqref="C17:E17"/>
    </sheetView>
  </sheetViews>
  <sheetFormatPr baseColWidth="10" defaultColWidth="9.1640625" defaultRowHeight="14" x14ac:dyDescent="0.15"/>
  <cols>
    <col min="1" max="1" width="10.83203125" style="1" customWidth="1"/>
    <col min="2" max="2" width="10.1640625" style="2" customWidth="1"/>
    <col min="3" max="3" width="68.83203125" style="4" customWidth="1"/>
    <col min="4" max="4" width="30.5" style="4" customWidth="1"/>
    <col min="5" max="5" width="63.6640625" style="4" customWidth="1"/>
    <col min="6" max="6" width="90" style="4" bestFit="1" customWidth="1"/>
    <col min="7" max="7" width="22.33203125" style="4" bestFit="1" customWidth="1"/>
    <col min="8" max="16384" width="9.1640625" style="4"/>
  </cols>
  <sheetData>
    <row r="1" spans="1:8" ht="24" thickTop="1" x14ac:dyDescent="0.15">
      <c r="C1" s="3" t="s">
        <v>0</v>
      </c>
      <c r="D1" s="3"/>
    </row>
    <row r="2" spans="1:8" ht="18" x14ac:dyDescent="0.2">
      <c r="A2" s="5"/>
      <c r="B2" s="6"/>
      <c r="C2" s="7" t="s">
        <v>1</v>
      </c>
      <c r="E2" s="8"/>
      <c r="F2" s="9"/>
    </row>
    <row r="3" spans="1:8" ht="18" x14ac:dyDescent="0.2">
      <c r="A3" s="5"/>
      <c r="B3" s="6"/>
      <c r="C3" s="7" t="s">
        <v>2</v>
      </c>
      <c r="E3" s="10"/>
      <c r="F3" s="11"/>
    </row>
    <row r="4" spans="1:8" ht="16" x14ac:dyDescent="0.15">
      <c r="D4" s="12"/>
      <c r="E4" s="12"/>
      <c r="F4" s="13"/>
    </row>
    <row r="5" spans="1:8" ht="18" x14ac:dyDescent="0.15">
      <c r="A5" s="14" t="s">
        <v>3</v>
      </c>
      <c r="B5" s="14"/>
      <c r="C5" s="14"/>
      <c r="D5" s="14"/>
      <c r="E5" s="14"/>
      <c r="F5" s="14"/>
      <c r="G5" s="14"/>
      <c r="H5" s="15"/>
    </row>
    <row r="6" spans="1:8" ht="18" x14ac:dyDescent="0.15">
      <c r="A6" s="16" t="s">
        <v>4</v>
      </c>
      <c r="B6" s="17" t="s">
        <v>5</v>
      </c>
      <c r="C6" s="18" t="s">
        <v>6</v>
      </c>
      <c r="D6" s="18"/>
      <c r="E6" s="18"/>
      <c r="F6" s="19" t="s">
        <v>7</v>
      </c>
      <c r="G6" s="19" t="s">
        <v>8</v>
      </c>
    </row>
    <row r="7" spans="1:8" ht="18" x14ac:dyDescent="0.15">
      <c r="A7" s="20">
        <v>46240</v>
      </c>
      <c r="B7" s="21">
        <v>1</v>
      </c>
      <c r="C7" s="22" t="s">
        <v>9</v>
      </c>
      <c r="D7" s="22"/>
      <c r="E7" s="22"/>
      <c r="F7" s="23" t="s">
        <v>10</v>
      </c>
      <c r="G7" s="24" t="s">
        <v>11</v>
      </c>
      <c r="H7" s="15"/>
    </row>
    <row r="8" spans="1:8" ht="18" x14ac:dyDescent="0.15">
      <c r="A8" s="25"/>
      <c r="B8" s="26"/>
      <c r="C8" s="27"/>
      <c r="D8" s="27"/>
      <c r="E8" s="27"/>
      <c r="F8" s="27"/>
      <c r="G8" s="15"/>
      <c r="H8" s="15"/>
    </row>
    <row r="9" spans="1:8" ht="18" x14ac:dyDescent="0.15">
      <c r="A9" s="28" t="s">
        <v>12</v>
      </c>
      <c r="B9" s="28"/>
      <c r="C9" s="28"/>
      <c r="D9" s="28"/>
      <c r="E9" s="28"/>
      <c r="F9" s="28"/>
      <c r="G9" s="28"/>
      <c r="H9" s="15"/>
    </row>
    <row r="10" spans="1:8" ht="18" x14ac:dyDescent="0.15">
      <c r="A10" s="29" t="s">
        <v>4</v>
      </c>
      <c r="B10" s="30" t="s">
        <v>5</v>
      </c>
      <c r="C10" s="31" t="s">
        <v>13</v>
      </c>
      <c r="D10" s="32"/>
      <c r="E10" s="33"/>
      <c r="F10" s="34" t="s">
        <v>7</v>
      </c>
      <c r="G10" s="34" t="s">
        <v>8</v>
      </c>
    </row>
    <row r="11" spans="1:8" ht="20" customHeight="1" x14ac:dyDescent="0.15">
      <c r="A11" s="35">
        <f>A7+7</f>
        <v>46247</v>
      </c>
      <c r="B11" s="36">
        <f>B7+1</f>
        <v>2</v>
      </c>
      <c r="C11" s="37" t="s">
        <v>14</v>
      </c>
      <c r="D11" s="37"/>
      <c r="E11" s="37"/>
      <c r="F11" s="38" t="s">
        <v>15</v>
      </c>
      <c r="G11" s="39" t="s">
        <v>16</v>
      </c>
      <c r="H11" s="15"/>
    </row>
    <row r="12" spans="1:8" ht="22" hidden="1" customHeight="1" x14ac:dyDescent="0.15">
      <c r="A12" s="40"/>
      <c r="B12" s="36"/>
      <c r="C12" s="37"/>
      <c r="D12" s="37"/>
      <c r="E12" s="37"/>
      <c r="F12" s="38"/>
      <c r="G12" s="39"/>
      <c r="H12" s="15"/>
    </row>
    <row r="13" spans="1:8" ht="22.5" customHeight="1" x14ac:dyDescent="0.15">
      <c r="A13" s="41">
        <f>+A11+7</f>
        <v>46254</v>
      </c>
      <c r="B13" s="42">
        <f>B11+1</f>
        <v>3</v>
      </c>
      <c r="C13" s="37" t="s">
        <v>17</v>
      </c>
      <c r="D13" s="37"/>
      <c r="E13" s="37"/>
      <c r="F13" s="38" t="s">
        <v>18</v>
      </c>
      <c r="G13" s="39" t="s">
        <v>19</v>
      </c>
      <c r="H13" s="43"/>
    </row>
    <row r="14" spans="1:8" ht="22.5" customHeight="1" x14ac:dyDescent="0.15">
      <c r="A14" s="41">
        <f>+A13+7</f>
        <v>46261</v>
      </c>
      <c r="B14" s="42">
        <f>B13+1</f>
        <v>4</v>
      </c>
      <c r="C14" s="37" t="s">
        <v>20</v>
      </c>
      <c r="D14" s="37"/>
      <c r="E14" s="37"/>
      <c r="F14" s="38" t="s">
        <v>21</v>
      </c>
      <c r="G14" s="39" t="s">
        <v>22</v>
      </c>
      <c r="H14" s="43"/>
    </row>
    <row r="15" spans="1:8" ht="22.5" customHeight="1" x14ac:dyDescent="0.15">
      <c r="A15" s="44"/>
      <c r="B15" s="45"/>
      <c r="C15" s="46"/>
      <c r="D15" s="46"/>
      <c r="E15" s="46"/>
      <c r="F15" s="47"/>
      <c r="G15" s="15"/>
      <c r="H15" s="43"/>
    </row>
    <row r="16" spans="1:8" ht="18" x14ac:dyDescent="0.15">
      <c r="A16" s="48" t="s">
        <v>23</v>
      </c>
      <c r="B16" s="48"/>
      <c r="C16" s="48"/>
      <c r="D16" s="48"/>
      <c r="E16" s="48"/>
      <c r="F16" s="49"/>
      <c r="G16" s="50"/>
      <c r="H16" s="43"/>
    </row>
    <row r="17" spans="1:8" ht="18" x14ac:dyDescent="0.15">
      <c r="A17" s="51" t="s">
        <v>4</v>
      </c>
      <c r="B17" s="52" t="s">
        <v>5</v>
      </c>
      <c r="C17" s="53" t="s">
        <v>13</v>
      </c>
      <c r="D17" s="53"/>
      <c r="E17" s="53"/>
      <c r="F17" s="54" t="s">
        <v>7</v>
      </c>
      <c r="G17" s="54" t="s">
        <v>8</v>
      </c>
    </row>
    <row r="18" spans="1:8" ht="22.5" customHeight="1" x14ac:dyDescent="0.15">
      <c r="A18" s="55">
        <f>A14+7</f>
        <v>46268</v>
      </c>
      <c r="B18" s="56">
        <f>B14+1</f>
        <v>5</v>
      </c>
      <c r="C18" s="57" t="s">
        <v>24</v>
      </c>
      <c r="D18" s="57"/>
      <c r="E18" s="57"/>
      <c r="F18" s="58" t="s">
        <v>25</v>
      </c>
      <c r="G18" s="59" t="s">
        <v>16</v>
      </c>
      <c r="H18" s="43"/>
    </row>
    <row r="19" spans="1:8" ht="22.5" customHeight="1" x14ac:dyDescent="0.15">
      <c r="A19" s="55">
        <f>+A18+7</f>
        <v>46275</v>
      </c>
      <c r="B19" s="60">
        <f>+B18+1</f>
        <v>6</v>
      </c>
      <c r="C19" s="57" t="s">
        <v>26</v>
      </c>
      <c r="D19" s="57"/>
      <c r="E19" s="57"/>
      <c r="F19" s="58" t="s">
        <v>27</v>
      </c>
      <c r="G19" s="59" t="s">
        <v>19</v>
      </c>
      <c r="H19" s="43"/>
    </row>
    <row r="20" spans="1:8" ht="22.5" customHeight="1" x14ac:dyDescent="0.15">
      <c r="A20" s="55">
        <f>+A19+7</f>
        <v>46282</v>
      </c>
      <c r="B20" s="60">
        <f>+B19+1</f>
        <v>7</v>
      </c>
      <c r="C20" s="57" t="s">
        <v>28</v>
      </c>
      <c r="D20" s="57"/>
      <c r="E20" s="57"/>
      <c r="F20" s="58" t="s">
        <v>29</v>
      </c>
      <c r="G20" s="59" t="s">
        <v>22</v>
      </c>
      <c r="H20" s="61"/>
    </row>
    <row r="21" spans="1:8" ht="22.5" customHeight="1" x14ac:dyDescent="0.15">
      <c r="A21" s="55">
        <f>+A20+7</f>
        <v>46289</v>
      </c>
      <c r="B21" s="60">
        <f>+B20+1</f>
        <v>8</v>
      </c>
      <c r="C21" s="57" t="s">
        <v>30</v>
      </c>
      <c r="D21" s="57"/>
      <c r="E21" s="57"/>
      <c r="F21" s="62" t="s">
        <v>31</v>
      </c>
      <c r="G21" s="63" t="s">
        <v>32</v>
      </c>
      <c r="H21" s="64"/>
    </row>
    <row r="22" spans="1:8" ht="22.5" customHeight="1" x14ac:dyDescent="0.15">
      <c r="A22" s="55">
        <f>+A21+7</f>
        <v>46296</v>
      </c>
      <c r="B22" s="60">
        <f>+B21+1</f>
        <v>9</v>
      </c>
      <c r="C22" s="57" t="s">
        <v>33</v>
      </c>
      <c r="D22" s="57"/>
      <c r="E22" s="57"/>
      <c r="F22" s="58" t="s">
        <v>34</v>
      </c>
      <c r="G22" s="59" t="s">
        <v>19</v>
      </c>
    </row>
    <row r="23" spans="1:8" ht="22.5" customHeight="1" x14ac:dyDescent="0.15">
      <c r="A23" s="44"/>
      <c r="B23" s="65"/>
      <c r="C23" s="46"/>
      <c r="D23" s="46"/>
      <c r="E23" s="46"/>
      <c r="F23" s="47"/>
      <c r="G23" s="15"/>
    </row>
    <row r="24" spans="1:8" ht="18" x14ac:dyDescent="0.15">
      <c r="A24" s="66" t="s">
        <v>35</v>
      </c>
      <c r="B24" s="66"/>
      <c r="C24" s="66"/>
      <c r="D24" s="66"/>
      <c r="E24" s="66"/>
      <c r="F24" s="67"/>
      <c r="G24" s="68"/>
    </row>
    <row r="25" spans="1:8" ht="18" x14ac:dyDescent="0.15">
      <c r="A25" s="69" t="s">
        <v>4</v>
      </c>
      <c r="B25" s="70" t="s">
        <v>5</v>
      </c>
      <c r="C25" s="71" t="s">
        <v>6</v>
      </c>
      <c r="D25" s="71"/>
      <c r="E25" s="71"/>
      <c r="F25" s="72" t="s">
        <v>7</v>
      </c>
      <c r="G25" s="72" t="s">
        <v>8</v>
      </c>
    </row>
    <row r="26" spans="1:8" ht="22.5" customHeight="1" x14ac:dyDescent="0.15">
      <c r="A26" s="73">
        <f>+A22+7</f>
        <v>46303</v>
      </c>
      <c r="B26" s="74">
        <f>+B22+1</f>
        <v>10</v>
      </c>
      <c r="C26" s="75" t="s">
        <v>36</v>
      </c>
      <c r="D26" s="75"/>
      <c r="E26" s="75"/>
      <c r="F26" s="76" t="s">
        <v>37</v>
      </c>
      <c r="G26" s="77" t="s">
        <v>22</v>
      </c>
    </row>
    <row r="27" spans="1:8" ht="22.5" customHeight="1" x14ac:dyDescent="0.15">
      <c r="A27" s="73">
        <f>+A26+7</f>
        <v>46310</v>
      </c>
      <c r="B27" s="74">
        <f>+B26+1</f>
        <v>11</v>
      </c>
      <c r="C27" s="75" t="s">
        <v>38</v>
      </c>
      <c r="D27" s="75"/>
      <c r="E27" s="75"/>
      <c r="F27" s="76" t="s">
        <v>39</v>
      </c>
      <c r="G27" s="77" t="s">
        <v>16</v>
      </c>
    </row>
    <row r="28" spans="1:8" ht="22.5" customHeight="1" x14ac:dyDescent="0.15">
      <c r="A28" s="73">
        <f t="shared" ref="A28:A31" si="0">+A27+7</f>
        <v>46317</v>
      </c>
      <c r="B28" s="74">
        <f>+B27+1</f>
        <v>12</v>
      </c>
      <c r="C28" s="75" t="s">
        <v>40</v>
      </c>
      <c r="D28" s="75"/>
      <c r="E28" s="75"/>
      <c r="F28" s="76" t="s">
        <v>41</v>
      </c>
      <c r="G28" s="77" t="s">
        <v>19</v>
      </c>
    </row>
    <row r="29" spans="1:8" ht="22.5" customHeight="1" x14ac:dyDescent="0.15">
      <c r="A29" s="73">
        <f t="shared" si="0"/>
        <v>46324</v>
      </c>
      <c r="B29" s="74">
        <f>+B28+1</f>
        <v>13</v>
      </c>
      <c r="C29" s="75" t="s">
        <v>42</v>
      </c>
      <c r="D29" s="75"/>
      <c r="E29" s="75"/>
      <c r="F29" s="76" t="s">
        <v>43</v>
      </c>
      <c r="G29" s="77" t="s">
        <v>22</v>
      </c>
      <c r="H29" s="4" t="s">
        <v>44</v>
      </c>
    </row>
    <row r="30" spans="1:8" ht="22.5" customHeight="1" x14ac:dyDescent="0.15">
      <c r="A30" s="73">
        <f t="shared" si="0"/>
        <v>46331</v>
      </c>
      <c r="B30" s="74">
        <f>+B29+1</f>
        <v>14</v>
      </c>
      <c r="C30" s="78" t="s">
        <v>45</v>
      </c>
      <c r="D30" s="78"/>
      <c r="E30" s="78"/>
      <c r="F30" s="73" t="s">
        <v>46</v>
      </c>
      <c r="G30" s="77" t="s">
        <v>22</v>
      </c>
      <c r="H30" s="4" t="s">
        <v>44</v>
      </c>
    </row>
    <row r="31" spans="1:8" ht="22.5" customHeight="1" x14ac:dyDescent="0.15">
      <c r="A31" s="73">
        <f t="shared" si="0"/>
        <v>46338</v>
      </c>
      <c r="B31" s="74">
        <f>+B30+1</f>
        <v>15</v>
      </c>
      <c r="C31" s="75" t="s">
        <v>47</v>
      </c>
      <c r="D31" s="75"/>
      <c r="E31" s="75"/>
      <c r="F31" s="78" t="s">
        <v>48</v>
      </c>
      <c r="G31" s="77" t="s">
        <v>16</v>
      </c>
    </row>
    <row r="32" spans="1:8" ht="22.5" customHeight="1" x14ac:dyDescent="0.15">
      <c r="A32" s="44"/>
      <c r="B32" s="65"/>
      <c r="C32" s="79"/>
      <c r="D32" s="79"/>
      <c r="E32" s="79"/>
      <c r="G32" s="15"/>
    </row>
    <row r="33" spans="1:8" ht="18" x14ac:dyDescent="0.15">
      <c r="A33" s="80" t="s">
        <v>49</v>
      </c>
      <c r="B33" s="80"/>
      <c r="C33" s="80"/>
      <c r="D33" s="80"/>
      <c r="E33" s="80"/>
      <c r="F33" s="80"/>
      <c r="G33" s="81"/>
    </row>
    <row r="34" spans="1:8" ht="18" x14ac:dyDescent="0.15">
      <c r="A34" s="16" t="s">
        <v>4</v>
      </c>
      <c r="B34" s="17" t="s">
        <v>5</v>
      </c>
      <c r="C34" s="18" t="s">
        <v>6</v>
      </c>
      <c r="D34" s="18"/>
      <c r="E34" s="18"/>
      <c r="F34" s="19" t="s">
        <v>7</v>
      </c>
      <c r="G34" s="19" t="s">
        <v>8</v>
      </c>
    </row>
    <row r="35" spans="1:8" ht="22.5" customHeight="1" x14ac:dyDescent="0.15">
      <c r="A35" s="20">
        <f>+A31+7</f>
        <v>46345</v>
      </c>
      <c r="B35" s="82">
        <f>+B31+1</f>
        <v>16</v>
      </c>
      <c r="C35" s="83" t="s">
        <v>50</v>
      </c>
      <c r="D35" s="83"/>
      <c r="E35" s="83"/>
      <c r="F35" s="84" t="s">
        <v>51</v>
      </c>
      <c r="G35" s="24" t="s">
        <v>11</v>
      </c>
    </row>
    <row r="36" spans="1:8" ht="22.5" customHeight="1" x14ac:dyDescent="0.15">
      <c r="A36" s="44"/>
      <c r="B36" s="45"/>
      <c r="C36" s="44"/>
      <c r="D36" s="44"/>
      <c r="E36" s="44"/>
      <c r="F36" s="44"/>
      <c r="G36" s="15"/>
    </row>
    <row r="37" spans="1:8" ht="22.5" customHeight="1" x14ac:dyDescent="0.2">
      <c r="A37" s="44"/>
      <c r="B37" s="45"/>
      <c r="C37" s="85"/>
      <c r="D37" s="86"/>
      <c r="E37" s="86"/>
      <c r="F37" s="86"/>
      <c r="G37" s="15"/>
      <c r="H37" s="87"/>
    </row>
    <row r="38" spans="1:8" ht="16" x14ac:dyDescent="0.2">
      <c r="A38" s="88"/>
      <c r="B38" s="89"/>
      <c r="C38" s="86"/>
      <c r="D38" s="86"/>
      <c r="E38" s="86"/>
      <c r="F38" s="86"/>
    </row>
    <row r="39" spans="1:8" ht="6.75" customHeight="1" x14ac:dyDescent="0.2">
      <c r="A39" s="90"/>
      <c r="B39" s="89"/>
      <c r="C39" s="86"/>
      <c r="D39" s="86"/>
      <c r="E39" s="86"/>
      <c r="F39" s="86"/>
    </row>
    <row r="40" spans="1:8" ht="16" x14ac:dyDescent="0.15">
      <c r="A40" s="4"/>
      <c r="B40" s="4"/>
      <c r="D40" s="44"/>
      <c r="E40" s="44"/>
      <c r="F40" s="47"/>
    </row>
    <row r="41" spans="1:8" ht="16" x14ac:dyDescent="0.2">
      <c r="A41" s="4"/>
      <c r="B41" s="4"/>
      <c r="D41" s="86"/>
      <c r="E41" s="86"/>
      <c r="F41" s="86"/>
    </row>
    <row r="42" spans="1:8" x14ac:dyDescent="0.15">
      <c r="A42" s="4"/>
      <c r="B42" s="4"/>
      <c r="D42" s="91"/>
      <c r="E42" s="91"/>
      <c r="F42" s="91"/>
    </row>
    <row r="43" spans="1:8" x14ac:dyDescent="0.15">
      <c r="A43" s="4"/>
      <c r="B43" s="4"/>
      <c r="D43" s="91"/>
      <c r="E43" s="91"/>
      <c r="F43" s="91"/>
    </row>
    <row r="44" spans="1:8" x14ac:dyDescent="0.15">
      <c r="A44" s="4"/>
      <c r="B44" s="4"/>
      <c r="D44" s="91"/>
      <c r="E44" s="91"/>
      <c r="F44" s="91"/>
    </row>
    <row r="45" spans="1:8" x14ac:dyDescent="0.15">
      <c r="A45" s="4"/>
      <c r="B45" s="4"/>
      <c r="D45" s="91"/>
      <c r="E45" s="91"/>
      <c r="F45" s="91"/>
    </row>
    <row r="46" spans="1:8" x14ac:dyDescent="0.15">
      <c r="A46" s="4"/>
      <c r="B46" s="4"/>
      <c r="D46" s="91"/>
      <c r="E46" s="91"/>
      <c r="F46" s="91"/>
    </row>
    <row r="47" spans="1:8" x14ac:dyDescent="0.15">
      <c r="A47" s="92"/>
      <c r="B47" s="93"/>
      <c r="C47" s="91"/>
      <c r="D47" s="91"/>
      <c r="E47" s="91"/>
      <c r="F47" s="91"/>
    </row>
    <row r="48" spans="1:8" x14ac:dyDescent="0.15">
      <c r="A48" s="92"/>
      <c r="B48" s="93"/>
      <c r="C48" s="91"/>
      <c r="D48" s="91"/>
      <c r="E48" s="91"/>
      <c r="F48" s="91"/>
    </row>
    <row r="49" spans="1:6" x14ac:dyDescent="0.15">
      <c r="A49" s="92"/>
      <c r="B49" s="93"/>
      <c r="C49" s="91"/>
      <c r="D49" s="91"/>
      <c r="E49" s="91"/>
      <c r="F49" s="91"/>
    </row>
    <row r="50" spans="1:6" x14ac:dyDescent="0.15">
      <c r="A50" s="92"/>
      <c r="B50" s="93"/>
      <c r="C50" s="91"/>
      <c r="D50" s="91"/>
      <c r="E50" s="91"/>
      <c r="F50" s="91"/>
    </row>
    <row r="51" spans="1:6" x14ac:dyDescent="0.15">
      <c r="A51" s="92"/>
      <c r="B51" s="93"/>
      <c r="C51" s="91"/>
      <c r="D51" s="91"/>
      <c r="E51" s="91"/>
      <c r="F51" s="91"/>
    </row>
    <row r="52" spans="1:6" x14ac:dyDescent="0.15">
      <c r="A52" s="92"/>
      <c r="B52" s="93"/>
      <c r="C52" s="91"/>
      <c r="D52" s="91"/>
      <c r="E52" s="91"/>
      <c r="F52" s="91"/>
    </row>
  </sheetData>
  <mergeCells count="29">
    <mergeCell ref="C31:E31"/>
    <mergeCell ref="C32:E32"/>
    <mergeCell ref="A33:F33"/>
    <mergeCell ref="C34:E34"/>
    <mergeCell ref="C35:E35"/>
    <mergeCell ref="A24:E24"/>
    <mergeCell ref="C25:E25"/>
    <mergeCell ref="C26:E26"/>
    <mergeCell ref="C27:E27"/>
    <mergeCell ref="C28:E28"/>
    <mergeCell ref="C29:E29"/>
    <mergeCell ref="C17:E17"/>
    <mergeCell ref="C18:E18"/>
    <mergeCell ref="C19:E19"/>
    <mergeCell ref="C20:E20"/>
    <mergeCell ref="C21:E21"/>
    <mergeCell ref="C22:E22"/>
    <mergeCell ref="A11:A12"/>
    <mergeCell ref="B11:B12"/>
    <mergeCell ref="C11:E12"/>
    <mergeCell ref="C13:E13"/>
    <mergeCell ref="C14:E14"/>
    <mergeCell ref="A16:E16"/>
    <mergeCell ref="C1:D1"/>
    <mergeCell ref="D4:E4"/>
    <mergeCell ref="A5:G5"/>
    <mergeCell ref="C6:E6"/>
    <mergeCell ref="A9:G9"/>
    <mergeCell ref="C10:E10"/>
  </mergeCells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f42aa342-8706-4288-bd11-ebb85995028c}" enabled="1" method="Standard" siteId="{72f988bf-86f1-41af-91ab-2d7cd011db4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2026-08-05T14:56:31Z</dcterms:created>
  <dcterms:modified xsi:type="dcterms:W3CDTF">2026-08-05T14:57:16Z</dcterms:modified>
</cp:coreProperties>
</file>